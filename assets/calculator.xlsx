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slil\Desktop\טיפוחייה\"/>
    </mc:Choice>
  </mc:AlternateContent>
  <bookViews>
    <workbookView xWindow="0" yWindow="0" windowWidth="23040" windowHeight="9108" firstSheet="1" activeTab="1"/>
  </bookViews>
  <sheets>
    <sheet name="גיליון2" sheetId="2" state="hidden" r:id="rId1"/>
    <sheet name="גיליון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2" l="1"/>
  <c r="J15" i="2"/>
  <c r="J16" i="2"/>
  <c r="J14" i="2"/>
  <c r="J13" i="2"/>
  <c r="I16" i="2"/>
  <c r="I14" i="2"/>
  <c r="I13" i="2"/>
  <c r="H16" i="2"/>
  <c r="H15" i="2"/>
  <c r="H14" i="2"/>
  <c r="H13" i="2"/>
  <c r="H12" i="1"/>
  <c r="I12" i="1"/>
</calcChain>
</file>

<file path=xl/sharedStrings.xml><?xml version="1.0" encoding="utf-8"?>
<sst xmlns="http://schemas.openxmlformats.org/spreadsheetml/2006/main" count="11" uniqueCount="11">
  <si>
    <t>כמה ימים בשבוע</t>
  </si>
  <si>
    <t>כמה שעות ביום</t>
  </si>
  <si>
    <t>כמה ילדים</t>
  </si>
  <si>
    <t>סכום</t>
  </si>
  <si>
    <t>עלות חודשית ממוצעת למשפחה</t>
  </si>
  <si>
    <t>שכר חודשי ממוצע למטפחת</t>
  </si>
  <si>
    <t>מחשבון עלויות משוערות להפעלת טיפוחייה במודל קלאסי</t>
  </si>
  <si>
    <t>מלאו את הערכים לפי הצורך הקבוצתי שלכם. החישוב כולל הוצאות על שכר והחזרי נסיעות למטפחת, והוצאות על הליווי.</t>
  </si>
  <si>
    <t>שכר שעתי למטפחת</t>
  </si>
  <si>
    <t>ימים בשבוע</t>
  </si>
  <si>
    <t>כמות ילדים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</si>
</sst>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Arial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4" xfId="0" applyFont="1" applyFill="1" applyBorder="1"/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הערכת עלויות</a:t>
            </a:r>
            <a:r>
              <a:rPr lang="he-IL" baseline="0"/>
              <a:t> הפעלת טיפוחייה</a:t>
            </a:r>
            <a:endParaRPr lang="he-IL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גיליון2!$G$13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גיליון2!$H$12:$J$12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גיליון2!$H$13:$J$13</c:f>
              <c:numCache>
                <c:formatCode>General</c:formatCode>
                <c:ptCount val="3"/>
                <c:pt idx="0">
                  <c:v>3681.3333333333335</c:v>
                </c:pt>
                <c:pt idx="1">
                  <c:v>4764</c:v>
                </c:pt>
                <c:pt idx="2">
                  <c:v>3713.3333333333335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4-455F-B0CC-28AC19624BB9}"/>
            </c:ext>
          </c:extLst>
        </c:ser>
        <c:ser>
          <c:idx val="1"/>
          <c:order val="1"/>
          <c:tx>
            <c:strRef>
              <c:f>גיליון2!$G$14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גיליון2!$H$12:$J$12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גיליון2!$H$14:$J$14</c:f>
              <c:numCache>
                <c:formatCode>General</c:formatCode>
                <c:ptCount val="3"/>
                <c:pt idx="0">
                  <c:v>2836</c:v>
                </c:pt>
                <c:pt idx="1">
                  <c:v>3648</c:v>
                </c:pt>
                <c:pt idx="2">
                  <c:v>2860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4-455F-B0CC-28AC19624BB9}"/>
            </c:ext>
          </c:extLst>
        </c:ser>
        <c:ser>
          <c:idx val="2"/>
          <c:order val="2"/>
          <c:tx>
            <c:strRef>
              <c:f>גיליון2!$G$15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גיליון2!$H$12:$J$12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גיליון2!$H$15:$J$15</c:f>
              <c:numCache>
                <c:formatCode>General</c:formatCode>
                <c:ptCount val="3"/>
                <c:pt idx="0">
                  <c:v>2328.8000000000002</c:v>
                </c:pt>
                <c:pt idx="1">
                  <c:v>2978.4</c:v>
                </c:pt>
                <c:pt idx="2">
                  <c:v>2348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4-455F-B0CC-28AC19624BB9}"/>
            </c:ext>
          </c:extLst>
        </c:ser>
        <c:ser>
          <c:idx val="3"/>
          <c:order val="3"/>
          <c:tx>
            <c:strRef>
              <c:f>גיליון2!$G$16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גיליון2!$H$12:$J$12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גיליון2!$H$16:$J$16</c:f>
              <c:numCache>
                <c:formatCode>General</c:formatCode>
                <c:ptCount val="3"/>
                <c:pt idx="0">
                  <c:v>1990.6666666666667</c:v>
                </c:pt>
                <c:pt idx="1">
                  <c:v>2532</c:v>
                </c:pt>
                <c:pt idx="2">
                  <c:v>2006.6666666666667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A4-455F-B0CC-28AC1962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240719"/>
        <c:axId val="1805230319"/>
      </c:lineChart>
      <c:catAx>
        <c:axId val="1805240719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ימי פעילות בשבוע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05230319"/>
        <c:crosses val="autoZero"/>
        <c:auto val="1"/>
        <c:lblAlgn val="ctr"/>
        <c:lblOffset val="100"/>
        <c:noMultiLvlLbl val="0"/>
      </c:catAx>
      <c:valAx>
        <c:axId val="180523031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סכום חודשי ממוצע למשפחה בש"ח</a:t>
                </a:r>
              </a:p>
            </c:rich>
          </c:tx>
          <c:layout>
            <c:manualLayout>
              <c:xMode val="edge"/>
              <c:yMode val="edge"/>
              <c:x val="0.9291666666666667"/>
              <c:y val="0.10694444444444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0524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41141732283464"/>
          <c:y val="0.88946704578594338"/>
          <c:w val="0.3867327209098862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הערכת עלויות</a:t>
            </a:r>
            <a:r>
              <a:rPr lang="he-IL" baseline="0"/>
              <a:t> הפעלת טיפוחייה</a:t>
            </a:r>
            <a:endParaRPr lang="he-IL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גיליון2!$G$13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גיליון2!$H$12:$J$12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גיליון2!$H$13:$J$13</c:f>
              <c:numCache>
                <c:formatCode>General</c:formatCode>
                <c:ptCount val="3"/>
                <c:pt idx="0">
                  <c:v>3681.3333333333335</c:v>
                </c:pt>
                <c:pt idx="1">
                  <c:v>4764</c:v>
                </c:pt>
                <c:pt idx="2">
                  <c:v>3713.3333333333335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5-4218-8070-4862FC2DE84D}"/>
            </c:ext>
          </c:extLst>
        </c:ser>
        <c:ser>
          <c:idx val="1"/>
          <c:order val="1"/>
          <c:tx>
            <c:strRef>
              <c:f>גיליון2!$G$14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גיליון2!$H$12:$J$12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גיליון2!$H$14:$J$14</c:f>
              <c:numCache>
                <c:formatCode>General</c:formatCode>
                <c:ptCount val="3"/>
                <c:pt idx="0">
                  <c:v>2836</c:v>
                </c:pt>
                <c:pt idx="1">
                  <c:v>3648</c:v>
                </c:pt>
                <c:pt idx="2">
                  <c:v>2860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5-4218-8070-4862FC2DE84D}"/>
            </c:ext>
          </c:extLst>
        </c:ser>
        <c:ser>
          <c:idx val="2"/>
          <c:order val="2"/>
          <c:tx>
            <c:strRef>
              <c:f>גיליון2!$G$15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גיליון2!$H$12:$J$12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גיליון2!$H$15:$J$15</c:f>
              <c:numCache>
                <c:formatCode>General</c:formatCode>
                <c:ptCount val="3"/>
                <c:pt idx="0">
                  <c:v>2328.8000000000002</c:v>
                </c:pt>
                <c:pt idx="1">
                  <c:v>2978.4</c:v>
                </c:pt>
                <c:pt idx="2">
                  <c:v>2348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5-4218-8070-4862FC2DE84D}"/>
            </c:ext>
          </c:extLst>
        </c:ser>
        <c:ser>
          <c:idx val="3"/>
          <c:order val="3"/>
          <c:tx>
            <c:strRef>
              <c:f>גיליון2!$G$16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גיליון2!$H$12:$J$12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גיליון2!$H$16:$J$16</c:f>
              <c:numCache>
                <c:formatCode>General</c:formatCode>
                <c:ptCount val="3"/>
                <c:pt idx="0">
                  <c:v>1990.6666666666667</c:v>
                </c:pt>
                <c:pt idx="1">
                  <c:v>2532</c:v>
                </c:pt>
                <c:pt idx="2">
                  <c:v>2006.6666666666667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D5-4218-8070-4862FC2D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240719"/>
        <c:axId val="1805230319"/>
      </c:lineChart>
      <c:catAx>
        <c:axId val="1805240719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ימי פעילות בשבוע (8 שעות ביום)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05230319"/>
        <c:crosses val="autoZero"/>
        <c:auto val="1"/>
        <c:lblAlgn val="ctr"/>
        <c:lblOffset val="100"/>
        <c:noMultiLvlLbl val="0"/>
      </c:catAx>
      <c:valAx>
        <c:axId val="180523031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סכום חודשי ממוצע למשפחה בש"ח</a:t>
                </a:r>
              </a:p>
            </c:rich>
          </c:tx>
          <c:layout>
            <c:manualLayout>
              <c:xMode val="edge"/>
              <c:yMode val="edge"/>
              <c:x val="0.9291666666666667"/>
              <c:y val="0.10694444444444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0524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41141732283464"/>
          <c:y val="0.88946704578594338"/>
          <c:w val="0.3867327209098862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518160</xdr:colOff>
      <xdr:row>7</xdr:row>
      <xdr:rowOff>22860</xdr:rowOff>
    </xdr:from>
    <xdr:to>
      <xdr:col>17</xdr:col>
      <xdr:colOff>396240</xdr:colOff>
      <xdr:row>22</xdr:row>
      <xdr:rowOff>137160</xdr:rowOff>
    </xdr:to>
    <xdr:graphicFrame macro="">
      <xdr:nvGraphicFramePr>
        <xdr:cNvPr id="5" name="תרשים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0.58333</cdr:x>
      <cdr:y>0.87778</cdr:y>
    </cdr:from>
    <cdr:to>
      <cdr:x>0.95</cdr:x>
      <cdr:y>0.95556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667000" y="2407920"/>
          <a:ext cx="167640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1"/>
        <a:lstStyle xmlns:a="http://schemas.openxmlformats.org/drawingml/2006/main"/>
        <a:p xmlns:a="http://schemas.openxmlformats.org/drawingml/2006/main">
          <a:r>
            <a:rPr lang="he-IL" sz="1000">
              <a:solidFill>
                <a:schemeClr val="tx1">
                  <a:lumMod val="50000"/>
                  <a:lumOff val="50000"/>
                </a:schemeClr>
              </a:solidFill>
            </a:rPr>
            <a:t>כמות ילדים בקבוצה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6</xdr:row>
      <xdr:rowOff>60960</xdr:rowOff>
    </xdr:from>
    <xdr:to>
      <xdr:col>16</xdr:col>
      <xdr:colOff>411480</xdr:colOff>
      <xdr:row>17</xdr:row>
      <xdr:rowOff>30480</xdr:rowOff>
    </xdr:to>
    <xdr:graphicFrame macro="">
      <xdr:nvGraphicFramePr>
        <xdr:cNvPr id="2" name="תרשים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0.58333</cdr:x>
      <cdr:y>0.87778</cdr:y>
    </cdr:from>
    <cdr:to>
      <cdr:x>0.95</cdr:x>
      <cdr:y>0.95556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667000" y="2407920"/>
          <a:ext cx="167640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1"/>
        <a:lstStyle xmlns:a="http://schemas.openxmlformats.org/drawingml/2006/main"/>
        <a:p xmlns:a="http://schemas.openxmlformats.org/drawingml/2006/main">
          <a:r>
            <a:rPr lang="he-IL" sz="1000">
              <a:solidFill>
                <a:schemeClr val="tx1">
                  <a:lumMod val="50000"/>
                  <a:lumOff val="50000"/>
                </a:schemeClr>
              </a:solidFill>
            </a:rPr>
            <a:t>כמות ילדים בקבוצה</a:t>
          </a:r>
        </a:p>
      </cdr:txBody>
    </cdr:sp>
  </cdr:relSizeAnchor>
</c:userShape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J16"/>
  <sheetViews>
    <sheetView rightToLeft="1" workbookViewId="0">
      <selection activeCell="H13" sqref="H13"/>
    </sheetView>
  </sheetViews>
  <sheetFormatPr defaultRowHeight="13.8" x14ac:dyDescent="0.25"/>
  <sheetData>
    <row r="11" spans="6:10" x14ac:dyDescent="0.25">
      <c r="G11" t="s">
        <v>10</v>
      </c>
    </row>
    <row r="12" spans="6:10" x14ac:dyDescent="0.25">
      <c r="F12" t="s">
        <v>9</v>
      </c>
      <c r="H12">
        <v>3</v>
      </c>
      <c r="I12">
        <v>4</v>
      </c>
      <c r="J12">
        <v>5</v>
      </c>
    </row>
    <row r="13" spans="6:10" x14ac:dyDescent="0.25">
      <c r="G13">
        <v>3</v>
      </c>
      <c r="H13">
        <f>(((H12*8+1)*100+12*H12)*4)/G13+300</f>
        <v>3681.3333333333335</v>
      </c>
      <c r="I13">
        <f>(((I12*8+1)*100+12*I12)*4)/G13+300</f>
        <v>4764</v>
      </c>
      <c r="J13">
        <f>(10000+12*J12*4)/G13+300</f>
        <v>3713.3333333333335</v>
      </c>
    </row>
    <row r="14" spans="6:10" x14ac:dyDescent="0.25">
      <c r="G14">
        <v>4</v>
      </c>
      <c r="H14">
        <f>(((H12*8+1)*100+12*H12)*4)/G14+300</f>
        <v>2836</v>
      </c>
      <c r="I14">
        <f>(((I12*8+1)*100+12*I12)*4)/G14+300</f>
        <v>3648</v>
      </c>
      <c r="J14">
        <f>(10000+12*J12*4)/G14+300</f>
        <v>2860</v>
      </c>
    </row>
    <row r="15" spans="6:10" x14ac:dyDescent="0.25">
      <c r="G15">
        <v>5</v>
      </c>
      <c r="H15">
        <f>(((H12*8+1)*100+12*H12)*4)/G15+300</f>
        <v>2328.8000000000002</v>
      </c>
      <c r="I15">
        <f>(((I12*8+1)*100+12*I12)*4)/G15+300</f>
        <v>2978.4</v>
      </c>
      <c r="J15">
        <f>(10000+12*J12*4)/G15+300</f>
        <v>2348</v>
      </c>
    </row>
    <row r="16" spans="6:10" x14ac:dyDescent="0.25">
      <c r="G16">
        <v>6</v>
      </c>
      <c r="H16">
        <f>(((H12*8+1)*100+12*H12)*4)/G16+300</f>
        <v>1990.6666666666667</v>
      </c>
      <c r="I16">
        <f>(((I12*8+1)*100+12*I12)*4)/G16+300</f>
        <v>2532</v>
      </c>
      <c r="J16">
        <f>(10000+12*J12*4)/G16+300</f>
        <v>2006.6666666666667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I12"/>
  <sheetViews>
    <sheetView showGridLines="0" rightToLeft="1" tabSelected="1" workbookViewId="0">
      <selection activeCell="H7" sqref="H7:I7"/>
    </sheetView>
  </sheetViews>
  <sheetFormatPr defaultRowHeight="13.8" x14ac:dyDescent="0.25"/>
  <cols>
    <col min="7" max="7" width="17.8984375" bestFit="1" customWidth="1"/>
    <col min="8" max="8" width="17.296875" customWidth="1"/>
    <col min="9" max="9" width="15.5" customWidth="1"/>
  </cols>
  <sheetData>
    <row r="4" spans="7:9" ht="14.4" thickBot="1" x14ac:dyDescent="0.3"/>
    <row r="5" spans="7:9" ht="18" x14ac:dyDescent="0.25">
      <c r="G5" s="10" t="s">
        <v>6</v>
      </c>
      <c r="H5" s="11"/>
      <c r="I5" s="12"/>
    </row>
    <row r="6" spans="7:9" ht="37.200000000000003" customHeight="1" thickBot="1" x14ac:dyDescent="0.3">
      <c r="G6" s="13" t="s">
        <v>7</v>
      </c>
      <c r="H6" s="14"/>
      <c r="I6" s="15"/>
    </row>
    <row r="7" spans="7:9" ht="25.8" customHeight="1" x14ac:dyDescent="0.25">
      <c r="G7" s="2" t="s">
        <v>0</v>
      </c>
      <c r="H7" s="16">
        <v>4</v>
      </c>
      <c r="I7" s="17"/>
    </row>
    <row r="8" spans="7:9" ht="24" customHeight="1" x14ac:dyDescent="0.25">
      <c r="G8" s="2" t="s">
        <v>1</v>
      </c>
      <c r="H8" s="16">
        <v>8</v>
      </c>
      <c r="I8" s="17"/>
    </row>
    <row r="9" spans="7:9" ht="25.8" customHeight="1" x14ac:dyDescent="0.25">
      <c r="G9" s="2" t="s">
        <v>2</v>
      </c>
      <c r="H9" s="16">
        <v>4</v>
      </c>
      <c r="I9" s="17"/>
    </row>
    <row r="10" spans="7:9" ht="24" customHeight="1" thickBot="1" x14ac:dyDescent="0.3">
      <c r="G10" s="9" t="s">
        <v>8</v>
      </c>
      <c r="H10" s="18">
        <v>100</v>
      </c>
      <c r="I10" s="19"/>
    </row>
    <row r="11" spans="7:9" s="1" customFormat="1" ht="31.2" x14ac:dyDescent="0.3">
      <c r="G11" s="6"/>
      <c r="H11" s="7" t="s">
        <v>4</v>
      </c>
      <c r="I11" s="8" t="s">
        <v>5</v>
      </c>
    </row>
    <row r="12" spans="7:9" ht="18.600000000000001" thickBot="1" x14ac:dyDescent="0.3">
      <c r="G12" s="3" t="s">
        <v>3</v>
      </c>
      <c r="H12" s="4">
        <f>(((H7*H8+1)*H10)+12*H7)*4/H9+300</f>
        <v>3648</v>
      </c>
      <c r="I12" s="5">
        <f>(((H7*H8+1)*H10)+12*H7)*4</f>
        <v>13392</v>
      </c>
    </row>
  </sheetData>
  <sheetProtection algorithmName="SHA-512" hashValue="ojTx8drPTn3SDnY8BWZWWIMd/Tvt4ibYJAJZcGg1uP6YharLQT4Mc1yJcln1HCbPf6XjlV8e02W0dIb22lhTLg==" saltValue="9T0Vj+MIOv5khXbwexu3/A==" spinCount="100000" sheet="1" objects="1" scenarios="1" selectLockedCells="1"/>
  <mergeCells count="6">
    <mergeCell ref="H10:I10"/>
    <mergeCell ref="G5:I5"/>
    <mergeCell ref="G6:I6"/>
    <mergeCell ref="H7:I7"/>
    <mergeCell ref="H8:I8"/>
    <mergeCell ref="H9:I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גיליון2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TSLIL SHILDER</dc:creator>
  <cp:lastModifiedBy>TSLIL SHILDER</cp:lastModifiedBy>
  <dcterms:created xsi:type="dcterms:W3CDTF">2026-06-06T17:12:30Z</dcterms:created>
  <dcterms:modified xsi:type="dcterms:W3CDTF">2026-07-02T05:49:13Z</dcterms:modified>
</cp:coreProperties>
</file>